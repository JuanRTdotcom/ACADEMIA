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juanruiz/Documents/proyectos-personales/ACADEMIA/"/>
    </mc:Choice>
  </mc:AlternateContent>
  <xr:revisionPtr revIDLastSave="0" documentId="13_ncr:1_{F106C80F-9214-0545-853A-2978F460A43B}" xr6:coauthVersionLast="47" xr6:coauthVersionMax="47" xr10:uidLastSave="{00000000-0000-0000-0000-000000000000}"/>
  <bookViews>
    <workbookView xWindow="1160" yWindow="780" windowWidth="39960" windowHeight="25800" xr2:uid="{00000000-000D-0000-FFFF-FFFF00000000}"/>
  </bookViews>
  <sheets>
    <sheet name="Cotización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5" i="2" l="1"/>
  <c r="C95" i="2"/>
  <c r="D90" i="2"/>
  <c r="C90" i="2"/>
  <c r="D71" i="2"/>
  <c r="C71" i="2"/>
  <c r="D66" i="2"/>
  <c r="C66" i="2"/>
  <c r="D60" i="2"/>
  <c r="C60" i="2"/>
  <c r="D54" i="2"/>
  <c r="C54" i="2"/>
  <c r="D44" i="2"/>
  <c r="C44" i="2"/>
  <c r="D32" i="2"/>
  <c r="C32" i="2"/>
  <c r="D17" i="2"/>
  <c r="C17" i="2"/>
  <c r="D72" i="2" l="1"/>
  <c r="C96" i="2"/>
  <c r="C72" i="2"/>
  <c r="D96" i="2"/>
  <c r="D97" i="2"/>
  <c r="D98" i="2" s="1"/>
  <c r="D100" i="2"/>
  <c r="D73" i="2"/>
  <c r="D74" i="2" s="1"/>
  <c r="D101" i="2" l="1"/>
  <c r="D102" i="2" s="1"/>
</calcChain>
</file>

<file path=xl/sharedStrings.xml><?xml version="1.0" encoding="utf-8"?>
<sst xmlns="http://schemas.openxmlformats.org/spreadsheetml/2006/main" count="102" uniqueCount="92">
  <si>
    <t>COTIZACIÓN — PLATAFORMA ACADEMIA SERUMISTA</t>
  </si>
  <si>
    <t>Aula Virtual Web + Panel Administrador + Pasarela de Pagos + App Móvil de Práctica (tipo Duolingo)</t>
  </si>
  <si>
    <t>Fecha: 25/07/2026     |     Fecha límite de entrega: 30/10/2026     |     Moneda: Soles (PEN)</t>
  </si>
  <si>
    <t>#</t>
  </si>
  <si>
    <t>Descripción / Subtarea</t>
  </si>
  <si>
    <t>Tiempo (días)</t>
  </si>
  <si>
    <t>Monto (S/)</t>
  </si>
  <si>
    <t>ETAPA INICIAL — PLATAFORMA WEB (base del proyecto)</t>
  </si>
  <si>
    <t>1. GESTIÓN DE PROYECTO Y DISEÑO UX/UI</t>
  </si>
  <si>
    <t>Reunión de levantamiento de requerimientos</t>
  </si>
  <si>
    <t>Definición de alcance y documento funcional</t>
  </si>
  <si>
    <t>Arquitectura de la solución (elección de stack)</t>
  </si>
  <si>
    <t>Diseño de identidad visual (colores, tipografía, logo)</t>
  </si>
  <si>
    <t>Wireframes de pantallas principales</t>
  </si>
  <si>
    <t>Diseño UI alta fidelidad — web</t>
  </si>
  <si>
    <t>Diseño responsive (web adaptable a móvil y tablet)</t>
  </si>
  <si>
    <t>Prototipo navegable y aprobación del cliente</t>
  </si>
  <si>
    <t>Subtotal</t>
  </si>
  <si>
    <t>Registro e inicio de sesión de alumno</t>
  </si>
  <si>
    <t>Perfil del alumno</t>
  </si>
  <si>
    <t>Catálogo de cursos (listado)</t>
  </si>
  <si>
    <t>Búsqueda y filtros de cursos</t>
  </si>
  <si>
    <t>Inscripción / matrícula a curso</t>
  </si>
  <si>
    <t>Vista de curso: módulos y lecciones</t>
  </si>
  <si>
    <t>Reproductor de video y material (PDF, enlaces)</t>
  </si>
  <si>
    <t>Cuestionarios / exámenes: rendir en línea</t>
  </si>
  <si>
    <t>Calificación automática y resultados</t>
  </si>
  <si>
    <t>Panel de progreso y avance del alumno</t>
  </si>
  <si>
    <t>Horarios y calendario de clases</t>
  </si>
  <si>
    <t>Notificaciones internas</t>
  </si>
  <si>
    <t>Panel principal del profesor</t>
  </si>
  <si>
    <t>Crear curso (estructura de módulos y lecciones)</t>
  </si>
  <si>
    <t>Subir videos y material didáctico</t>
  </si>
  <si>
    <t>Editor de banco de preguntas</t>
  </si>
  <si>
    <t>Crear cuestionarios / exámenes</t>
  </si>
  <si>
    <t>Configurar fechas y disponibilidad</t>
  </si>
  <si>
    <t>Reporte de rendimiento por alumno / curso</t>
  </si>
  <si>
    <t>Exportar notas y reportes del curso (Excel / CSV)</t>
  </si>
  <si>
    <t>Bandeja de mensajería con alumnos</t>
  </si>
  <si>
    <t>4. PANEL ADMINISTRADOR</t>
  </si>
  <si>
    <t>Gestión de roles y permisos</t>
  </si>
  <si>
    <t>Gestión de cursos y contenidos</t>
  </si>
  <si>
    <t>Control de inscripciones</t>
  </si>
  <si>
    <t>Reporte de pagos e ingresos</t>
  </si>
  <si>
    <t>Exportación de reportes (Excel / PDF)</t>
  </si>
  <si>
    <t>Reportes avanzados y descarga de TODA la información (Excel/CSV)</t>
  </si>
  <si>
    <t>Flujo de pago de inscripción</t>
  </si>
  <si>
    <t>Registro de transacciones</t>
  </si>
  <si>
    <t>Comprobante / recibo al alumno</t>
  </si>
  <si>
    <t>6. INFRAESTRUCTURA Y DESPLIEGUE</t>
  </si>
  <si>
    <t>Configuración de servidor y base de datos</t>
  </si>
  <si>
    <t>Despliegue de la plataforma web</t>
  </si>
  <si>
    <t>Dominio + certificado SSL</t>
  </si>
  <si>
    <t>Configuración de correos y respaldos</t>
  </si>
  <si>
    <t>7. CAPACITACIÓN Y ENTREGA</t>
  </si>
  <si>
    <t>Capacitación a administrador y profesores</t>
  </si>
  <si>
    <t>Manual de usuario y documentación</t>
  </si>
  <si>
    <t>SUBTOTAL ETAPA INICIAL</t>
  </si>
  <si>
    <t>IGV (18%)</t>
  </si>
  <si>
    <t>TOTAL ETAPA INICIAL (RESUMEN, incl. IGV)</t>
  </si>
  <si>
    <t xml:space="preserve">   Nota: En la etapa inicial se pueden OBVIAR la App Móvil y las Pruebas QA; se desarrollarían en una etapa posterior. El precio resumen corresponde solo a la Etapa Inicial.</t>
  </si>
  <si>
    <t>8. APP MÓVIL — PRÁCTICA TIPO DUOLINGO (iOS + Android)</t>
  </si>
  <si>
    <t>Login y sincronización con la plataforma web</t>
  </si>
  <si>
    <t>Home y navegación de la app</t>
  </si>
  <si>
    <t>Banco de preguntas y simulacros SERUMS</t>
  </si>
  <si>
    <t>Motor de examen (temporizador, respuestas)</t>
  </si>
  <si>
    <t>Gamificación: rachas y puntos</t>
  </si>
  <si>
    <t>Gamificación: niveles y ranking</t>
  </si>
  <si>
    <t>Resultados y estadísticas de práctica</t>
  </si>
  <si>
    <t>Notificaciones push (recordatorios)</t>
  </si>
  <si>
    <t>Ajustes y perfil en la app</t>
  </si>
  <si>
    <t>Empaquetado y publicación en tiendas</t>
  </si>
  <si>
    <t>9. PRUEBAS (QA) Y CORRECCIONES</t>
  </si>
  <si>
    <t>Pruebas funcionales de la plataforma web</t>
  </si>
  <si>
    <t>Pruebas de la app móvil</t>
  </si>
  <si>
    <t>Corrección de errores y ajustes finales</t>
  </si>
  <si>
    <t>SUBTOTAL ETAPA 2</t>
  </si>
  <si>
    <t>TOTAL ETAPA 2 (incl. IGV)</t>
  </si>
  <si>
    <t>SUBTOTAL GENERAL (Etapa Inicial + Etapa 2)</t>
  </si>
  <si>
    <t>TOTAL GENERAL (ambas etapas, incl. IGV)</t>
  </si>
  <si>
    <t>Nota de tiempos: los días indicados son días-hombre de trabajo. Con desarrollo en paralelo, el calendario real estimado es de ~12 a 14 semanas (llega al 30/10 con equipo dedicado). El IGV solo aplica si se emite factura.</t>
  </si>
  <si>
    <t xml:space="preserve">2. AULA VIRTUAL WEB — ALUMNOS  </t>
  </si>
  <si>
    <t>Acceso a clases</t>
  </si>
  <si>
    <t xml:space="preserve">3. AULA VIRTUAL WEB — PROFESORES </t>
  </si>
  <si>
    <t>Programar clases (Zoom) desde el curso</t>
  </si>
  <si>
    <t>Gestión de usuarios</t>
  </si>
  <si>
    <t>Dashboard general</t>
  </si>
  <si>
    <t>Integración de pasarela</t>
  </si>
  <si>
    <t>5. PASARELA DE PAGOS</t>
  </si>
  <si>
    <t>Manual de despliegue e infraestructura</t>
  </si>
  <si>
    <t>ETAPA 2 — POSTERIOR  (opcional que se desarrolle después)</t>
  </si>
  <si>
    <t>Configuración base de la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</si>
</sst>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/ &quot;#,##0"/>
  </numFmts>
  <fonts count="11" x14ac:knownFonts="1">
    <font>
      <sz val="11"/>
      <color theme="1"/>
      <name val="Calibri"/>
      <family val="2"/>
      <scheme val="minor"/>
    </font>
    <font>
      <b/>
      <sz val="16"/>
      <color rgb="FFFFFFFF"/>
      <name val="Arial"/>
      <family val="2"/>
    </font>
    <font>
      <i/>
      <sz val="10"/>
      <color rgb="FFFFFFFF"/>
      <name val="Arial"/>
      <family val="2"/>
    </font>
    <font>
      <sz val="9"/>
      <color rgb="FF555555"/>
      <name val="Arial"/>
      <family val="2"/>
    </font>
    <font>
      <b/>
      <sz val="10"/>
      <color rgb="FFFFFFFF"/>
      <name val="Arial"/>
      <family val="2"/>
    </font>
    <font>
      <b/>
      <sz val="12"/>
      <color rgb="FFFFFFFF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color rgb="FF5B2C86"/>
      <name val="Arial"/>
      <family val="2"/>
    </font>
    <font>
      <i/>
      <sz val="9"/>
      <color rgb="FFB06A00"/>
      <name val="Arial"/>
      <family val="2"/>
    </font>
    <font>
      <i/>
      <sz val="9"/>
      <color rgb="FF555555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5B2C86"/>
      </patternFill>
    </fill>
    <fill>
      <patternFill patternType="solid">
        <fgColor rgb="FF35B8A5"/>
      </patternFill>
    </fill>
    <fill>
      <patternFill patternType="solid">
        <fgColor rgb="FFEDE4F5"/>
      </patternFill>
    </fill>
    <fill>
      <patternFill patternType="solid">
        <fgColor rgb="FFFFF3CC"/>
      </patternFill>
    </fill>
    <fill>
      <patternFill patternType="solid">
        <fgColor rgb="FF9AA0A6"/>
      </patternFill>
    </fill>
    <fill>
      <patternFill patternType="solid">
        <fgColor rgb="FF7A7A7A"/>
      </patternFill>
    </fill>
    <fill>
      <patternFill patternType="solid">
        <fgColor rgb="FF3A3A3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 wrapText="1" indent="1"/>
    </xf>
    <xf numFmtId="164" fontId="7" fillId="0" borderId="1" xfId="0" applyNumberFormat="1" applyFont="1" applyBorder="1" applyAlignment="1">
      <alignment horizontal="right"/>
    </xf>
    <xf numFmtId="0" fontId="0" fillId="4" borderId="1" xfId="0" applyFill="1" applyBorder="1"/>
    <xf numFmtId="0" fontId="8" fillId="4" borderId="1" xfId="0" applyFont="1" applyFill="1" applyBorder="1" applyAlignment="1">
      <alignment horizontal="right" indent="1"/>
    </xf>
    <xf numFmtId="0" fontId="8" fillId="4" borderId="1" xfId="0" applyFont="1" applyFill="1" applyBorder="1" applyAlignment="1">
      <alignment horizontal="center"/>
    </xf>
    <xf numFmtId="164" fontId="8" fillId="4" borderId="1" xfId="0" applyNumberFormat="1" applyFont="1" applyFill="1" applyBorder="1" applyAlignment="1">
      <alignment horizontal="right"/>
    </xf>
    <xf numFmtId="0" fontId="6" fillId="3" borderId="1" xfId="0" applyFont="1" applyFill="1" applyBorder="1" applyAlignment="1">
      <alignment horizontal="center"/>
    </xf>
    <xf numFmtId="164" fontId="6" fillId="3" borderId="1" xfId="0" applyNumberFormat="1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164" fontId="6" fillId="6" borderId="1" xfId="0" applyNumberFormat="1" applyFont="1" applyFill="1" applyBorder="1" applyAlignment="1">
      <alignment horizontal="right"/>
    </xf>
    <xf numFmtId="0" fontId="5" fillId="2" borderId="1" xfId="0" applyFont="1" applyFill="1" applyBorder="1" applyAlignment="1">
      <alignment horizontal="center"/>
    </xf>
    <xf numFmtId="164" fontId="5" fillId="2" borderId="1" xfId="0" applyNumberFormat="1" applyFont="1" applyFill="1" applyBorder="1" applyAlignment="1">
      <alignment horizontal="right"/>
    </xf>
    <xf numFmtId="0" fontId="6" fillId="7" borderId="1" xfId="0" applyFont="1" applyFill="1" applyBorder="1" applyAlignment="1">
      <alignment horizontal="center"/>
    </xf>
    <xf numFmtId="164" fontId="6" fillId="7" borderId="1" xfId="0" applyNumberFormat="1" applyFont="1" applyFill="1" applyBorder="1" applyAlignment="1">
      <alignment horizontal="right"/>
    </xf>
    <xf numFmtId="0" fontId="5" fillId="8" borderId="1" xfId="0" applyFont="1" applyFill="1" applyBorder="1" applyAlignment="1">
      <alignment horizontal="center"/>
    </xf>
    <xf numFmtId="164" fontId="5" fillId="8" borderId="1" xfId="0" applyNumberFormat="1" applyFont="1" applyFill="1" applyBorder="1" applyAlignment="1">
      <alignment horizontal="right"/>
    </xf>
    <xf numFmtId="0" fontId="0" fillId="0" borderId="0" xfId="0"/>
    <xf numFmtId="0" fontId="6" fillId="3" borderId="1" xfId="0" applyFont="1" applyFill="1" applyBorder="1" applyAlignment="1">
      <alignment horizontal="left" vertical="center" indent="1"/>
    </xf>
    <xf numFmtId="0" fontId="0" fillId="0" borderId="1" xfId="0" applyBorder="1"/>
    <xf numFmtId="0" fontId="9" fillId="5" borderId="1" xfId="0" applyFont="1" applyFill="1" applyBorder="1" applyAlignment="1">
      <alignment horizontal="left" vertical="center" wrapText="1" indent="1"/>
    </xf>
    <xf numFmtId="0" fontId="6" fillId="7" borderId="1" xfId="0" applyFont="1" applyFill="1" applyBorder="1" applyAlignment="1">
      <alignment horizontal="right" vertical="center" indent="1"/>
    </xf>
    <xf numFmtId="0" fontId="6" fillId="3" borderId="1" xfId="0" applyFont="1" applyFill="1" applyBorder="1" applyAlignment="1">
      <alignment horizontal="right" vertical="center" indent="1"/>
    </xf>
    <xf numFmtId="0" fontId="5" fillId="8" borderId="1" xfId="0" applyFont="1" applyFill="1" applyBorder="1" applyAlignment="1">
      <alignment horizontal="right" vertical="center" indent="1"/>
    </xf>
    <xf numFmtId="0" fontId="1" fillId="2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right" vertical="center" indent="1"/>
    </xf>
    <xf numFmtId="0" fontId="5" fillId="2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right" vertical="center" indent="1"/>
    </xf>
    <xf numFmtId="0" fontId="10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/>
    </xf>
    <xf numFmtId="0" fontId="2" fillId="3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5"/>
  <sheetViews>
    <sheetView tabSelected="1" zoomScale="180" zoomScaleNormal="180" workbookViewId="0">
      <pane ySplit="5" topLeftCell="A6" activePane="bottomLeft" state="frozen"/>
      <selection pane="bottomLeft" activeCell="B81" sqref="B81"/>
    </sheetView>
  </sheetViews>
  <sheetFormatPr baseColWidth="10" defaultColWidth="8.83203125" defaultRowHeight="15" x14ac:dyDescent="0.2"/>
  <cols>
    <col min="1" max="1" width="6" customWidth="1"/>
    <col min="2" max="2" width="58" customWidth="1"/>
    <col min="3" max="3" width="14" customWidth="1"/>
    <col min="4" max="4" width="16" customWidth="1"/>
  </cols>
  <sheetData>
    <row r="1" spans="1:4" ht="30" customHeight="1" x14ac:dyDescent="0.2">
      <c r="A1" s="26" t="s">
        <v>0</v>
      </c>
      <c r="B1" s="19"/>
      <c r="C1" s="19"/>
      <c r="D1" s="19"/>
    </row>
    <row r="2" spans="1:4" ht="20" customHeight="1" x14ac:dyDescent="0.2">
      <c r="A2" s="32" t="s">
        <v>1</v>
      </c>
      <c r="B2" s="19"/>
      <c r="C2" s="19"/>
      <c r="D2" s="19"/>
    </row>
    <row r="3" spans="1:4" x14ac:dyDescent="0.2">
      <c r="A3" s="31" t="s">
        <v>2</v>
      </c>
      <c r="B3" s="19"/>
      <c r="C3" s="19"/>
      <c r="D3" s="19"/>
    </row>
    <row r="5" spans="1:4" ht="20" customHeight="1" x14ac:dyDescent="0.2">
      <c r="A5" s="1" t="s">
        <v>3</v>
      </c>
      <c r="B5" s="1" t="s">
        <v>4</v>
      </c>
      <c r="C5" s="1" t="s">
        <v>5</v>
      </c>
      <c r="D5" s="1" t="s">
        <v>6</v>
      </c>
    </row>
    <row r="7" spans="1:4" ht="24" customHeight="1" x14ac:dyDescent="0.2">
      <c r="A7" s="28" t="s">
        <v>7</v>
      </c>
      <c r="B7" s="21"/>
      <c r="C7" s="21"/>
      <c r="D7" s="21"/>
    </row>
    <row r="8" spans="1:4" ht="20" customHeight="1" x14ac:dyDescent="0.2">
      <c r="A8" s="20" t="s">
        <v>8</v>
      </c>
      <c r="B8" s="21"/>
      <c r="C8" s="21"/>
      <c r="D8" s="21"/>
    </row>
    <row r="9" spans="1:4" x14ac:dyDescent="0.2">
      <c r="A9" s="2">
        <v>1</v>
      </c>
      <c r="B9" s="3" t="s">
        <v>9</v>
      </c>
      <c r="C9" s="2">
        <v>2</v>
      </c>
      <c r="D9" s="4">
        <v>600</v>
      </c>
    </row>
    <row r="10" spans="1:4" x14ac:dyDescent="0.2">
      <c r="A10" s="2">
        <v>2</v>
      </c>
      <c r="B10" s="3" t="s">
        <v>10</v>
      </c>
      <c r="C10" s="2">
        <v>2</v>
      </c>
      <c r="D10" s="4">
        <v>700</v>
      </c>
    </row>
    <row r="11" spans="1:4" x14ac:dyDescent="0.2">
      <c r="A11" s="2">
        <v>3</v>
      </c>
      <c r="B11" s="3" t="s">
        <v>11</v>
      </c>
      <c r="C11" s="2">
        <v>1</v>
      </c>
      <c r="D11" s="4">
        <v>500</v>
      </c>
    </row>
    <row r="12" spans="1:4" x14ac:dyDescent="0.2">
      <c r="A12" s="2">
        <v>4</v>
      </c>
      <c r="B12" s="3" t="s">
        <v>12</v>
      </c>
      <c r="C12" s="2">
        <v>2</v>
      </c>
      <c r="D12" s="4">
        <v>900</v>
      </c>
    </row>
    <row r="13" spans="1:4" x14ac:dyDescent="0.2">
      <c r="A13" s="2">
        <v>5</v>
      </c>
      <c r="B13" s="3" t="s">
        <v>13</v>
      </c>
      <c r="C13" s="2">
        <v>3</v>
      </c>
      <c r="D13" s="4">
        <v>1100</v>
      </c>
    </row>
    <row r="14" spans="1:4" x14ac:dyDescent="0.2">
      <c r="A14" s="2">
        <v>6</v>
      </c>
      <c r="B14" s="3" t="s">
        <v>14</v>
      </c>
      <c r="C14" s="2">
        <v>4</v>
      </c>
      <c r="D14" s="4">
        <v>1400</v>
      </c>
    </row>
    <row r="15" spans="1:4" x14ac:dyDescent="0.2">
      <c r="A15" s="2">
        <v>7</v>
      </c>
      <c r="B15" s="3" t="s">
        <v>15</v>
      </c>
      <c r="C15" s="2">
        <v>1</v>
      </c>
      <c r="D15" s="4">
        <v>600</v>
      </c>
    </row>
    <row r="16" spans="1:4" x14ac:dyDescent="0.2">
      <c r="A16" s="2">
        <v>8</v>
      </c>
      <c r="B16" s="3" t="s">
        <v>16</v>
      </c>
      <c r="C16" s="2">
        <v>1</v>
      </c>
      <c r="D16" s="4">
        <v>500</v>
      </c>
    </row>
    <row r="17" spans="1:4" x14ac:dyDescent="0.2">
      <c r="A17" s="5"/>
      <c r="B17" s="6" t="s">
        <v>17</v>
      </c>
      <c r="C17" s="7">
        <f>SUM(C9:C16)</f>
        <v>16</v>
      </c>
      <c r="D17" s="8">
        <f>SUM(D9:D16)</f>
        <v>6300</v>
      </c>
    </row>
    <row r="18" spans="1:4" ht="20" customHeight="1" x14ac:dyDescent="0.2">
      <c r="A18" s="20" t="s">
        <v>81</v>
      </c>
      <c r="B18" s="21"/>
      <c r="C18" s="21"/>
      <c r="D18" s="21"/>
    </row>
    <row r="19" spans="1:4" x14ac:dyDescent="0.2">
      <c r="A19" s="2">
        <v>9</v>
      </c>
      <c r="B19" s="3" t="s">
        <v>18</v>
      </c>
      <c r="C19" s="2">
        <v>2</v>
      </c>
      <c r="D19" s="4">
        <v>700</v>
      </c>
    </row>
    <row r="20" spans="1:4" x14ac:dyDescent="0.2">
      <c r="A20" s="2">
        <v>10</v>
      </c>
      <c r="B20" s="3" t="s">
        <v>19</v>
      </c>
      <c r="C20" s="2">
        <v>1</v>
      </c>
      <c r="D20" s="4">
        <v>500</v>
      </c>
    </row>
    <row r="21" spans="1:4" x14ac:dyDescent="0.2">
      <c r="A21" s="2">
        <v>11</v>
      </c>
      <c r="B21" s="3" t="s">
        <v>20</v>
      </c>
      <c r="C21" s="2">
        <v>2</v>
      </c>
      <c r="D21" s="4">
        <v>800</v>
      </c>
    </row>
    <row r="22" spans="1:4" x14ac:dyDescent="0.2">
      <c r="A22" s="2">
        <v>12</v>
      </c>
      <c r="B22" s="3" t="s">
        <v>21</v>
      </c>
      <c r="C22" s="2">
        <v>1</v>
      </c>
      <c r="D22" s="4">
        <v>500</v>
      </c>
    </row>
    <row r="23" spans="1:4" x14ac:dyDescent="0.2">
      <c r="A23" s="2">
        <v>13</v>
      </c>
      <c r="B23" s="3" t="s">
        <v>22</v>
      </c>
      <c r="C23" s="2">
        <v>2</v>
      </c>
      <c r="D23" s="4">
        <v>900</v>
      </c>
    </row>
    <row r="24" spans="1:4" x14ac:dyDescent="0.2">
      <c r="A24" s="2">
        <v>14</v>
      </c>
      <c r="B24" s="3" t="s">
        <v>23</v>
      </c>
      <c r="C24" s="2">
        <v>2</v>
      </c>
      <c r="D24" s="4">
        <v>1000</v>
      </c>
    </row>
    <row r="25" spans="1:4" x14ac:dyDescent="0.2">
      <c r="A25" s="2">
        <v>15</v>
      </c>
      <c r="B25" s="3" t="s">
        <v>24</v>
      </c>
      <c r="C25" s="2">
        <v>2</v>
      </c>
      <c r="D25" s="4">
        <v>900</v>
      </c>
    </row>
    <row r="26" spans="1:4" x14ac:dyDescent="0.2">
      <c r="A26" s="2">
        <v>16</v>
      </c>
      <c r="B26" s="3" t="s">
        <v>82</v>
      </c>
      <c r="C26" s="2">
        <v>2</v>
      </c>
      <c r="D26" s="4">
        <v>1000</v>
      </c>
    </row>
    <row r="27" spans="1:4" x14ac:dyDescent="0.2">
      <c r="A27" s="2">
        <v>17</v>
      </c>
      <c r="B27" s="3" t="s">
        <v>25</v>
      </c>
      <c r="C27" s="2">
        <v>3</v>
      </c>
      <c r="D27" s="4">
        <v>1300</v>
      </c>
    </row>
    <row r="28" spans="1:4" x14ac:dyDescent="0.2">
      <c r="A28" s="2">
        <v>18</v>
      </c>
      <c r="B28" s="3" t="s">
        <v>26</v>
      </c>
      <c r="C28" s="2">
        <v>2</v>
      </c>
      <c r="D28" s="4">
        <v>900</v>
      </c>
    </row>
    <row r="29" spans="1:4" x14ac:dyDescent="0.2">
      <c r="A29" s="2">
        <v>19</v>
      </c>
      <c r="B29" s="3" t="s">
        <v>27</v>
      </c>
      <c r="C29" s="2">
        <v>2</v>
      </c>
      <c r="D29" s="4">
        <v>800</v>
      </c>
    </row>
    <row r="30" spans="1:4" x14ac:dyDescent="0.2">
      <c r="A30" s="2">
        <v>20</v>
      </c>
      <c r="B30" s="3" t="s">
        <v>28</v>
      </c>
      <c r="C30" s="2">
        <v>1</v>
      </c>
      <c r="D30" s="4">
        <v>600</v>
      </c>
    </row>
    <row r="31" spans="1:4" x14ac:dyDescent="0.2">
      <c r="A31" s="2">
        <v>21</v>
      </c>
      <c r="B31" s="3" t="s">
        <v>29</v>
      </c>
      <c r="C31" s="2">
        <v>1</v>
      </c>
      <c r="D31" s="4">
        <v>500</v>
      </c>
    </row>
    <row r="32" spans="1:4" x14ac:dyDescent="0.2">
      <c r="A32" s="5"/>
      <c r="B32" s="6" t="s">
        <v>17</v>
      </c>
      <c r="C32" s="7">
        <f>SUM(C19:C31)</f>
        <v>23</v>
      </c>
      <c r="D32" s="8">
        <f>SUM(D19:D31)</f>
        <v>10400</v>
      </c>
    </row>
    <row r="33" spans="1:4" ht="20" customHeight="1" x14ac:dyDescent="0.2">
      <c r="A33" s="20" t="s">
        <v>83</v>
      </c>
      <c r="B33" s="21"/>
      <c r="C33" s="21"/>
      <c r="D33" s="21"/>
    </row>
    <row r="34" spans="1:4" x14ac:dyDescent="0.2">
      <c r="A34" s="2">
        <v>22</v>
      </c>
      <c r="B34" s="3" t="s">
        <v>30</v>
      </c>
      <c r="C34" s="2">
        <v>1</v>
      </c>
      <c r="D34" s="4">
        <v>600</v>
      </c>
    </row>
    <row r="35" spans="1:4" x14ac:dyDescent="0.2">
      <c r="A35" s="2">
        <v>23</v>
      </c>
      <c r="B35" s="3" t="s">
        <v>31</v>
      </c>
      <c r="C35" s="2">
        <v>2</v>
      </c>
      <c r="D35" s="4">
        <v>1000</v>
      </c>
    </row>
    <row r="36" spans="1:4" x14ac:dyDescent="0.2">
      <c r="A36" s="2">
        <v>24</v>
      </c>
      <c r="B36" s="3" t="s">
        <v>32</v>
      </c>
      <c r="C36" s="2">
        <v>2</v>
      </c>
      <c r="D36" s="4">
        <v>1000</v>
      </c>
    </row>
    <row r="37" spans="1:4" x14ac:dyDescent="0.2">
      <c r="A37" s="2">
        <v>25</v>
      </c>
      <c r="B37" s="3" t="s">
        <v>84</v>
      </c>
      <c r="C37" s="2">
        <v>2</v>
      </c>
      <c r="D37" s="4">
        <v>1000</v>
      </c>
    </row>
    <row r="38" spans="1:4" x14ac:dyDescent="0.2">
      <c r="A38" s="2">
        <v>26</v>
      </c>
      <c r="B38" s="3" t="s">
        <v>33</v>
      </c>
      <c r="C38" s="2">
        <v>3</v>
      </c>
      <c r="D38" s="4">
        <v>1200</v>
      </c>
    </row>
    <row r="39" spans="1:4" x14ac:dyDescent="0.2">
      <c r="A39" s="2">
        <v>27</v>
      </c>
      <c r="B39" s="3" t="s">
        <v>34</v>
      </c>
      <c r="C39" s="2">
        <v>2</v>
      </c>
      <c r="D39" s="4">
        <v>900</v>
      </c>
    </row>
    <row r="40" spans="1:4" x14ac:dyDescent="0.2">
      <c r="A40" s="2">
        <v>28</v>
      </c>
      <c r="B40" s="3" t="s">
        <v>35</v>
      </c>
      <c r="C40" s="2">
        <v>1</v>
      </c>
      <c r="D40" s="4">
        <v>500</v>
      </c>
    </row>
    <row r="41" spans="1:4" x14ac:dyDescent="0.2">
      <c r="A41" s="2">
        <v>29</v>
      </c>
      <c r="B41" s="3" t="s">
        <v>36</v>
      </c>
      <c r="C41" s="2">
        <v>2</v>
      </c>
      <c r="D41" s="4">
        <v>1000</v>
      </c>
    </row>
    <row r="42" spans="1:4" x14ac:dyDescent="0.2">
      <c r="A42" s="2">
        <v>30</v>
      </c>
      <c r="B42" s="3" t="s">
        <v>37</v>
      </c>
      <c r="C42" s="2">
        <v>1</v>
      </c>
      <c r="D42" s="4">
        <v>400</v>
      </c>
    </row>
    <row r="43" spans="1:4" x14ac:dyDescent="0.2">
      <c r="A43" s="2">
        <v>31</v>
      </c>
      <c r="B43" s="3" t="s">
        <v>38</v>
      </c>
      <c r="C43" s="2">
        <v>1</v>
      </c>
      <c r="D43" s="4">
        <v>600</v>
      </c>
    </row>
    <row r="44" spans="1:4" x14ac:dyDescent="0.2">
      <c r="A44" s="5"/>
      <c r="B44" s="6" t="s">
        <v>17</v>
      </c>
      <c r="C44" s="7">
        <f>SUM(C34:C43)</f>
        <v>17</v>
      </c>
      <c r="D44" s="8">
        <f>SUM(D34:D43)</f>
        <v>8200</v>
      </c>
    </row>
    <row r="45" spans="1:4" ht="20" customHeight="1" x14ac:dyDescent="0.2">
      <c r="A45" s="20" t="s">
        <v>39</v>
      </c>
      <c r="B45" s="21"/>
      <c r="C45" s="21"/>
      <c r="D45" s="21"/>
    </row>
    <row r="46" spans="1:4" x14ac:dyDescent="0.2">
      <c r="A46" s="2">
        <v>32</v>
      </c>
      <c r="B46" s="3" t="s">
        <v>86</v>
      </c>
      <c r="C46" s="2">
        <v>2</v>
      </c>
      <c r="D46" s="4">
        <v>1000</v>
      </c>
    </row>
    <row r="47" spans="1:4" x14ac:dyDescent="0.2">
      <c r="A47" s="2">
        <v>33</v>
      </c>
      <c r="B47" s="3" t="s">
        <v>85</v>
      </c>
      <c r="C47" s="2">
        <v>2</v>
      </c>
      <c r="D47" s="4">
        <v>900</v>
      </c>
    </row>
    <row r="48" spans="1:4" x14ac:dyDescent="0.2">
      <c r="A48" s="2">
        <v>34</v>
      </c>
      <c r="B48" s="3" t="s">
        <v>40</v>
      </c>
      <c r="C48" s="2">
        <v>1</v>
      </c>
      <c r="D48" s="4">
        <v>700</v>
      </c>
    </row>
    <row r="49" spans="1:4" x14ac:dyDescent="0.2">
      <c r="A49" s="2">
        <v>35</v>
      </c>
      <c r="B49" s="3" t="s">
        <v>41</v>
      </c>
      <c r="C49" s="2">
        <v>2</v>
      </c>
      <c r="D49" s="4">
        <v>900</v>
      </c>
    </row>
    <row r="50" spans="1:4" x14ac:dyDescent="0.2">
      <c r="A50" s="2">
        <v>36</v>
      </c>
      <c r="B50" s="3" t="s">
        <v>42</v>
      </c>
      <c r="C50" s="2">
        <v>1</v>
      </c>
      <c r="D50" s="4">
        <v>600</v>
      </c>
    </row>
    <row r="51" spans="1:4" x14ac:dyDescent="0.2">
      <c r="A51" s="2">
        <v>37</v>
      </c>
      <c r="B51" s="3" t="s">
        <v>43</v>
      </c>
      <c r="C51" s="2">
        <v>2</v>
      </c>
      <c r="D51" s="4">
        <v>900</v>
      </c>
    </row>
    <row r="52" spans="1:4" x14ac:dyDescent="0.2">
      <c r="A52" s="2">
        <v>38</v>
      </c>
      <c r="B52" s="3" t="s">
        <v>44</v>
      </c>
      <c r="C52" s="2">
        <v>1</v>
      </c>
      <c r="D52" s="4">
        <v>600</v>
      </c>
    </row>
    <row r="53" spans="1:4" x14ac:dyDescent="0.2">
      <c r="A53" s="2">
        <v>39</v>
      </c>
      <c r="B53" s="3" t="s">
        <v>45</v>
      </c>
      <c r="C53" s="2">
        <v>2</v>
      </c>
      <c r="D53" s="4">
        <v>1000</v>
      </c>
    </row>
    <row r="54" spans="1:4" x14ac:dyDescent="0.2">
      <c r="A54" s="5"/>
      <c r="B54" s="6" t="s">
        <v>17</v>
      </c>
      <c r="C54" s="7">
        <f>SUM(C46:C53)</f>
        <v>13</v>
      </c>
      <c r="D54" s="8">
        <f>SUM(D46:D53)</f>
        <v>6600</v>
      </c>
    </row>
    <row r="55" spans="1:4" ht="20" customHeight="1" x14ac:dyDescent="0.2">
      <c r="A55" s="20" t="s">
        <v>88</v>
      </c>
      <c r="B55" s="21"/>
      <c r="C55" s="21"/>
      <c r="D55" s="21"/>
    </row>
    <row r="56" spans="1:4" x14ac:dyDescent="0.2">
      <c r="A56" s="2">
        <v>40</v>
      </c>
      <c r="B56" s="3" t="s">
        <v>87</v>
      </c>
      <c r="C56" s="2">
        <v>2</v>
      </c>
      <c r="D56" s="4">
        <v>1400</v>
      </c>
    </row>
    <row r="57" spans="1:4" x14ac:dyDescent="0.2">
      <c r="A57" s="2">
        <v>41</v>
      </c>
      <c r="B57" s="3" t="s">
        <v>46</v>
      </c>
      <c r="C57" s="2">
        <v>2</v>
      </c>
      <c r="D57" s="4">
        <v>1100</v>
      </c>
    </row>
    <row r="58" spans="1:4" x14ac:dyDescent="0.2">
      <c r="A58" s="2">
        <v>42</v>
      </c>
      <c r="B58" s="3" t="s">
        <v>47</v>
      </c>
      <c r="C58" s="2">
        <v>1</v>
      </c>
      <c r="D58" s="4">
        <v>500</v>
      </c>
    </row>
    <row r="59" spans="1:4" x14ac:dyDescent="0.2">
      <c r="A59" s="2">
        <v>43</v>
      </c>
      <c r="B59" s="3" t="s">
        <v>48</v>
      </c>
      <c r="C59" s="2">
        <v>1</v>
      </c>
      <c r="D59" s="4">
        <v>400</v>
      </c>
    </row>
    <row r="60" spans="1:4" x14ac:dyDescent="0.2">
      <c r="A60" s="5"/>
      <c r="B60" s="6" t="s">
        <v>17</v>
      </c>
      <c r="C60" s="7">
        <f>SUM(C56:C59)</f>
        <v>6</v>
      </c>
      <c r="D60" s="8">
        <f>SUM(D56:D59)</f>
        <v>3400</v>
      </c>
    </row>
    <row r="61" spans="1:4" ht="20" customHeight="1" x14ac:dyDescent="0.2">
      <c r="A61" s="20" t="s">
        <v>49</v>
      </c>
      <c r="B61" s="21"/>
      <c r="C61" s="21"/>
      <c r="D61" s="21"/>
    </row>
    <row r="62" spans="1:4" x14ac:dyDescent="0.2">
      <c r="A62" s="2">
        <v>44</v>
      </c>
      <c r="B62" s="3" t="s">
        <v>50</v>
      </c>
      <c r="C62" s="2">
        <v>2</v>
      </c>
      <c r="D62" s="4">
        <v>1000</v>
      </c>
    </row>
    <row r="63" spans="1:4" x14ac:dyDescent="0.2">
      <c r="A63" s="2">
        <v>45</v>
      </c>
      <c r="B63" s="3" t="s">
        <v>51</v>
      </c>
      <c r="C63" s="2">
        <v>1</v>
      </c>
      <c r="D63" s="4">
        <v>700</v>
      </c>
    </row>
    <row r="64" spans="1:4" x14ac:dyDescent="0.2">
      <c r="A64" s="2">
        <v>46</v>
      </c>
      <c r="B64" s="3" t="s">
        <v>52</v>
      </c>
      <c r="C64" s="2">
        <v>1</v>
      </c>
      <c r="D64" s="4">
        <v>400</v>
      </c>
    </row>
    <row r="65" spans="1:4" x14ac:dyDescent="0.2">
      <c r="A65" s="2">
        <v>47</v>
      </c>
      <c r="B65" s="3" t="s">
        <v>53</v>
      </c>
      <c r="C65" s="2">
        <v>1</v>
      </c>
      <c r="D65" s="4">
        <v>800</v>
      </c>
    </row>
    <row r="66" spans="1:4" x14ac:dyDescent="0.2">
      <c r="A66" s="5"/>
      <c r="B66" s="6" t="s">
        <v>17</v>
      </c>
      <c r="C66" s="7">
        <f>SUM(C62:C65)</f>
        <v>5</v>
      </c>
      <c r="D66" s="8">
        <f>SUM(D62:D65)</f>
        <v>2900</v>
      </c>
    </row>
    <row r="67" spans="1:4" ht="20" customHeight="1" x14ac:dyDescent="0.2">
      <c r="A67" s="20" t="s">
        <v>54</v>
      </c>
      <c r="B67" s="21"/>
      <c r="C67" s="21"/>
      <c r="D67" s="21"/>
    </row>
    <row r="68" spans="1:4" x14ac:dyDescent="0.2">
      <c r="A68" s="2">
        <v>48</v>
      </c>
      <c r="B68" s="3" t="s">
        <v>55</v>
      </c>
      <c r="C68" s="2">
        <v>1</v>
      </c>
      <c r="D68" s="4">
        <v>700</v>
      </c>
    </row>
    <row r="69" spans="1:4" x14ac:dyDescent="0.2">
      <c r="A69" s="2">
        <v>49</v>
      </c>
      <c r="B69" s="3" t="s">
        <v>56</v>
      </c>
      <c r="C69" s="2">
        <v>2</v>
      </c>
      <c r="D69" s="4">
        <v>600</v>
      </c>
    </row>
    <row r="70" spans="1:4" x14ac:dyDescent="0.2">
      <c r="A70" s="2">
        <v>50</v>
      </c>
      <c r="B70" s="3" t="s">
        <v>89</v>
      </c>
      <c r="C70" s="2">
        <v>1</v>
      </c>
      <c r="D70" s="4">
        <v>300</v>
      </c>
    </row>
    <row r="71" spans="1:4" x14ac:dyDescent="0.2">
      <c r="A71" s="5"/>
      <c r="B71" s="6" t="s">
        <v>17</v>
      </c>
      <c r="C71" s="7">
        <f>SUM(C68:C70)</f>
        <v>4</v>
      </c>
      <c r="D71" s="8">
        <f>SUM(D68:D70)</f>
        <v>1600</v>
      </c>
    </row>
    <row r="72" spans="1:4" ht="20" customHeight="1" x14ac:dyDescent="0.2">
      <c r="A72" s="24" t="s">
        <v>57</v>
      </c>
      <c r="B72" s="21"/>
      <c r="C72" s="9">
        <f>C17+C32+C44+C54+C60+C66+C71</f>
        <v>84</v>
      </c>
      <c r="D72" s="10">
        <f>D17+D32+D44+D54+D60+D66+D71</f>
        <v>39400</v>
      </c>
    </row>
    <row r="73" spans="1:4" ht="20" customHeight="1" x14ac:dyDescent="0.2">
      <c r="A73" s="29" t="s">
        <v>58</v>
      </c>
      <c r="B73" s="21"/>
      <c r="C73" s="11"/>
      <c r="D73" s="12">
        <f>D72*0.18</f>
        <v>7092</v>
      </c>
    </row>
    <row r="74" spans="1:4" ht="20" customHeight="1" x14ac:dyDescent="0.2">
      <c r="A74" s="27" t="s">
        <v>59</v>
      </c>
      <c r="B74" s="21"/>
      <c r="C74" s="13"/>
      <c r="D74" s="14">
        <f>D72+D73</f>
        <v>46492</v>
      </c>
    </row>
    <row r="76" spans="1:4" ht="24" customHeight="1" x14ac:dyDescent="0.2">
      <c r="A76" s="28" t="s">
        <v>90</v>
      </c>
      <c r="B76" s="21"/>
      <c r="C76" s="21"/>
      <c r="D76" s="21"/>
    </row>
    <row r="77" spans="1:4" ht="30" customHeight="1" x14ac:dyDescent="0.2">
      <c r="A77" s="22" t="s">
        <v>60</v>
      </c>
      <c r="B77" s="21"/>
      <c r="C77" s="21"/>
      <c r="D77" s="21"/>
    </row>
    <row r="78" spans="1:4" ht="20" customHeight="1" x14ac:dyDescent="0.2">
      <c r="A78" s="20" t="s">
        <v>61</v>
      </c>
      <c r="B78" s="21"/>
      <c r="C78" s="21"/>
      <c r="D78" s="21"/>
    </row>
    <row r="79" spans="1:4" x14ac:dyDescent="0.2">
      <c r="A79" s="2">
        <v>51</v>
      </c>
      <c r="B79" s="3" t="s">
        <v>91</v>
      </c>
      <c r="C79" s="2">
        <v>2</v>
      </c>
      <c r="D79" s="4">
        <v>1000</v>
      </c>
    </row>
    <row r="80" spans="1:4" x14ac:dyDescent="0.2">
      <c r="A80" s="2">
        <v>52</v>
      </c>
      <c r="B80" s="3" t="s">
        <v>62</v>
      </c>
      <c r="C80" s="2">
        <v>2</v>
      </c>
      <c r="D80" s="4">
        <v>900</v>
      </c>
    </row>
    <row r="81" spans="1:4" x14ac:dyDescent="0.2">
      <c r="A81" s="2">
        <v>53</v>
      </c>
      <c r="B81" s="3" t="s">
        <v>63</v>
      </c>
      <c r="C81" s="2">
        <v>1</v>
      </c>
      <c r="D81" s="4">
        <v>600</v>
      </c>
    </row>
    <row r="82" spans="1:4" x14ac:dyDescent="0.2">
      <c r="A82" s="2">
        <v>54</v>
      </c>
      <c r="B82" s="3" t="s">
        <v>64</v>
      </c>
      <c r="C82" s="2">
        <v>3</v>
      </c>
      <c r="D82" s="4">
        <v>2000</v>
      </c>
    </row>
    <row r="83" spans="1:4" x14ac:dyDescent="0.2">
      <c r="A83" s="2">
        <v>55</v>
      </c>
      <c r="B83" s="3" t="s">
        <v>65</v>
      </c>
      <c r="C83" s="2">
        <v>2</v>
      </c>
      <c r="D83" s="4">
        <v>1100</v>
      </c>
    </row>
    <row r="84" spans="1:4" x14ac:dyDescent="0.2">
      <c r="A84" s="2">
        <v>56</v>
      </c>
      <c r="B84" s="3" t="s">
        <v>66</v>
      </c>
      <c r="C84" s="2">
        <v>2</v>
      </c>
      <c r="D84" s="4">
        <v>1000</v>
      </c>
    </row>
    <row r="85" spans="1:4" x14ac:dyDescent="0.2">
      <c r="A85" s="2">
        <v>57</v>
      </c>
      <c r="B85" s="3" t="s">
        <v>67</v>
      </c>
      <c r="C85" s="2">
        <v>2</v>
      </c>
      <c r="D85" s="4">
        <v>1000</v>
      </c>
    </row>
    <row r="86" spans="1:4" x14ac:dyDescent="0.2">
      <c r="A86" s="2">
        <v>58</v>
      </c>
      <c r="B86" s="3" t="s">
        <v>68</v>
      </c>
      <c r="C86" s="2">
        <v>2</v>
      </c>
      <c r="D86" s="4">
        <v>900</v>
      </c>
    </row>
    <row r="87" spans="1:4" x14ac:dyDescent="0.2">
      <c r="A87" s="2">
        <v>59</v>
      </c>
      <c r="B87" s="3" t="s">
        <v>69</v>
      </c>
      <c r="C87" s="2">
        <v>2</v>
      </c>
      <c r="D87" s="4">
        <v>900</v>
      </c>
    </row>
    <row r="88" spans="1:4" x14ac:dyDescent="0.2">
      <c r="A88" s="2">
        <v>60</v>
      </c>
      <c r="B88" s="3" t="s">
        <v>70</v>
      </c>
      <c r="C88" s="2">
        <v>1</v>
      </c>
      <c r="D88" s="4">
        <v>300</v>
      </c>
    </row>
    <row r="89" spans="1:4" x14ac:dyDescent="0.2">
      <c r="A89" s="2">
        <v>61</v>
      </c>
      <c r="B89" s="3" t="s">
        <v>71</v>
      </c>
      <c r="C89" s="2">
        <v>2</v>
      </c>
      <c r="D89" s="4">
        <v>1300</v>
      </c>
    </row>
    <row r="90" spans="1:4" x14ac:dyDescent="0.2">
      <c r="A90" s="5"/>
      <c r="B90" s="6" t="s">
        <v>17</v>
      </c>
      <c r="C90" s="7">
        <f>SUM(C79:C89)</f>
        <v>21</v>
      </c>
      <c r="D90" s="8">
        <f>SUM(D79:D89)</f>
        <v>11000</v>
      </c>
    </row>
    <row r="91" spans="1:4" ht="20" customHeight="1" x14ac:dyDescent="0.2">
      <c r="A91" s="20" t="s">
        <v>72</v>
      </c>
      <c r="B91" s="21"/>
      <c r="C91" s="21"/>
      <c r="D91" s="21"/>
    </row>
    <row r="92" spans="1:4" x14ac:dyDescent="0.2">
      <c r="A92" s="2">
        <v>62</v>
      </c>
      <c r="B92" s="3" t="s">
        <v>73</v>
      </c>
      <c r="C92" s="2">
        <v>3</v>
      </c>
      <c r="D92" s="4">
        <v>1300</v>
      </c>
    </row>
    <row r="93" spans="1:4" x14ac:dyDescent="0.2">
      <c r="A93" s="2">
        <v>63</v>
      </c>
      <c r="B93" s="3" t="s">
        <v>74</v>
      </c>
      <c r="C93" s="2">
        <v>2</v>
      </c>
      <c r="D93" s="4">
        <v>900</v>
      </c>
    </row>
    <row r="94" spans="1:4" x14ac:dyDescent="0.2">
      <c r="A94" s="2">
        <v>64</v>
      </c>
      <c r="B94" s="3" t="s">
        <v>75</v>
      </c>
      <c r="C94" s="2">
        <v>2</v>
      </c>
      <c r="D94" s="4">
        <v>800</v>
      </c>
    </row>
    <row r="95" spans="1:4" x14ac:dyDescent="0.2">
      <c r="A95" s="5"/>
      <c r="B95" s="6" t="s">
        <v>17</v>
      </c>
      <c r="C95" s="7">
        <f>SUM(C92:C94)</f>
        <v>7</v>
      </c>
      <c r="D95" s="8">
        <f>SUM(D92:D94)</f>
        <v>3000</v>
      </c>
    </row>
    <row r="96" spans="1:4" ht="20" customHeight="1" x14ac:dyDescent="0.2">
      <c r="A96" s="24" t="s">
        <v>76</v>
      </c>
      <c r="B96" s="21"/>
      <c r="C96" s="9">
        <f>C90+C95</f>
        <v>28</v>
      </c>
      <c r="D96" s="10">
        <f>D90+D95</f>
        <v>14000</v>
      </c>
    </row>
    <row r="97" spans="1:4" ht="20" customHeight="1" x14ac:dyDescent="0.2">
      <c r="A97" s="29" t="s">
        <v>58</v>
      </c>
      <c r="B97" s="21"/>
      <c r="C97" s="11"/>
      <c r="D97" s="12">
        <f>D96*0.18</f>
        <v>2520</v>
      </c>
    </row>
    <row r="98" spans="1:4" ht="20" customHeight="1" x14ac:dyDescent="0.2">
      <c r="A98" s="27" t="s">
        <v>77</v>
      </c>
      <c r="B98" s="21"/>
      <c r="C98" s="13"/>
      <c r="D98" s="14">
        <f>D96+D97</f>
        <v>16520</v>
      </c>
    </row>
    <row r="100" spans="1:4" ht="20" customHeight="1" x14ac:dyDescent="0.2">
      <c r="A100" s="23" t="s">
        <v>78</v>
      </c>
      <c r="B100" s="21"/>
      <c r="C100" s="15"/>
      <c r="D100" s="16">
        <f>D72+D96</f>
        <v>53400</v>
      </c>
    </row>
    <row r="101" spans="1:4" ht="20" customHeight="1" x14ac:dyDescent="0.2">
      <c r="A101" s="29" t="s">
        <v>58</v>
      </c>
      <c r="B101" s="21"/>
      <c r="C101" s="11"/>
      <c r="D101" s="12">
        <f>D100*0.18</f>
        <v>9612</v>
      </c>
    </row>
    <row r="102" spans="1:4" ht="20" customHeight="1" x14ac:dyDescent="0.2">
      <c r="A102" s="25" t="s">
        <v>79</v>
      </c>
      <c r="B102" s="21"/>
      <c r="C102" s="17"/>
      <c r="D102" s="18">
        <f>D100+D101</f>
        <v>63012</v>
      </c>
    </row>
    <row r="105" spans="1:4" ht="45" customHeight="1" x14ac:dyDescent="0.2">
      <c r="A105" s="30" t="s">
        <v>80</v>
      </c>
      <c r="B105" s="19"/>
      <c r="C105" s="19"/>
      <c r="D105" s="19"/>
    </row>
  </sheetData>
  <mergeCells count="25">
    <mergeCell ref="A105:D105"/>
    <mergeCell ref="A77:D77"/>
    <mergeCell ref="A97:B97"/>
    <mergeCell ref="A18:D18"/>
    <mergeCell ref="A55:D55"/>
    <mergeCell ref="A74:B74"/>
    <mergeCell ref="A102:B102"/>
    <mergeCell ref="A1:D1"/>
    <mergeCell ref="A91:D91"/>
    <mergeCell ref="A98:B98"/>
    <mergeCell ref="A76:D76"/>
    <mergeCell ref="A101:B101"/>
    <mergeCell ref="A67:D67"/>
    <mergeCell ref="A73:B73"/>
    <mergeCell ref="A7:D7"/>
    <mergeCell ref="A45:D45"/>
    <mergeCell ref="A3:D3"/>
    <mergeCell ref="A2:D2"/>
    <mergeCell ref="A8:D8"/>
    <mergeCell ref="A100:B100"/>
    <mergeCell ref="A78:D78"/>
    <mergeCell ref="A61:D61"/>
    <mergeCell ref="A33:D33"/>
    <mergeCell ref="A96:B96"/>
    <mergeCell ref="A72:B7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Cotización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Juan Ruiz Trujillo</cp:lastModifiedBy>
  <dcterms:created xsi:type="dcterms:W3CDTF">2026-07-26T00:21:39Z</dcterms:created>
  <dcterms:modified xsi:type="dcterms:W3CDTF">2026-07-26T01:22:25Z</dcterms:modified>
</cp:coreProperties>
</file>